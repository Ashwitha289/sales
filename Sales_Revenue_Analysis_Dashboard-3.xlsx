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oject_Readme" sheetId="3" state="visible" r:id="rId3"/>
  </sheets>
  <definedNames>
    <definedName name="_xlnm._FilterDatabase" localSheetId="0" hidden="1">'Sales_Data'!$A$1:$K$73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₹#,##0.00"/>
    <numFmt numFmtId="167" formatCode="mmm"/>
    <numFmt numFmtId="168" formatCode="₹#,##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20"/>
    </font>
    <font>
      <b val="1"/>
      <sz val="16"/>
    </font>
    <font>
      <b val="1"/>
      <color rgb="001F4E78"/>
      <sz val="14"/>
    </font>
    <font>
      <b val="1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6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'Dashboard'!$B$10:$B$21</f>
            </numRef>
          </cat>
          <val>
            <numRef>
              <f>'Dashboard'!$C$10:$C$21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'Dashboard'!$B$25:$B$32</f>
            </numRef>
          </cat>
          <val>
            <numRef>
              <f>'Dashboard'!$C$25:$C$32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23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K73" headerRowCount="1">
  <autoFilter ref="A1:K73"/>
  <tableColumns count="11">
    <tableColumn id="1" name="Order ID"/>
    <tableColumn id="2" name="Date"/>
    <tableColumn id="3" name="Customer"/>
    <tableColumn id="4" name="City"/>
    <tableColumn id="5" name="Product"/>
    <tableColumn id="6" name="Category"/>
    <tableColumn id="7" name="Quantity"/>
    <tableColumn id="8" name="Discount"/>
    <tableColumn id="9" name="Revenue"/>
    <tableColumn id="10" name="Cost"/>
    <tableColumn id="11" name="Prof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0" customWidth="1" min="7" max="7"/>
    <col width="10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Discount</t>
        </is>
      </c>
      <c r="I1" s="1" t="inlineStr">
        <is>
          <t>Revenue</t>
        </is>
      </c>
      <c r="J1" s="1" t="inlineStr">
        <is>
          <t>Cost</t>
        </is>
      </c>
      <c r="K1" s="1" t="inlineStr">
        <is>
          <t>Profit</t>
        </is>
      </c>
    </row>
    <row r="2">
      <c r="A2" t="n">
        <v>1001</v>
      </c>
      <c r="B2" s="2" t="n">
        <v>46030</v>
      </c>
      <c r="C2" t="inlineStr">
        <is>
          <t>Ishaan</t>
        </is>
      </c>
      <c r="D2" t="inlineStr">
        <is>
          <t>Pune</t>
        </is>
      </c>
      <c r="E2" t="inlineStr">
        <is>
          <t>Smartphone</t>
        </is>
      </c>
      <c r="F2" t="inlineStr">
        <is>
          <t>Electronics</t>
        </is>
      </c>
      <c r="G2" t="n">
        <v>1</v>
      </c>
      <c r="H2" s="3" t="n">
        <v>0.1</v>
      </c>
      <c r="I2" s="4" t="n">
        <v>25200</v>
      </c>
      <c r="J2" s="4" t="n">
        <v>16002.15</v>
      </c>
      <c r="K2" s="4" t="n">
        <v>9197.85</v>
      </c>
    </row>
    <row r="3">
      <c r="A3" t="n">
        <v>1002</v>
      </c>
      <c r="B3" s="2" t="n">
        <v>46024</v>
      </c>
      <c r="C3" t="inlineStr">
        <is>
          <t>Aarav</t>
        </is>
      </c>
      <c r="D3" t="inlineStr">
        <is>
          <t>Hyderabad</t>
        </is>
      </c>
      <c r="E3" t="inlineStr">
        <is>
          <t>Smartphone</t>
        </is>
      </c>
      <c r="F3" t="inlineStr">
        <is>
          <t>Electronics</t>
        </is>
      </c>
      <c r="G3" t="n">
        <v>5</v>
      </c>
      <c r="H3" s="3" t="n">
        <v>0</v>
      </c>
      <c r="I3" s="4" t="n">
        <v>140000</v>
      </c>
      <c r="J3" s="4" t="n">
        <v>97733.78999999999</v>
      </c>
      <c r="K3" s="4" t="n">
        <v>42266.21</v>
      </c>
    </row>
    <row r="4">
      <c r="A4" t="n">
        <v>1003</v>
      </c>
      <c r="B4" s="2" t="n">
        <v>46040</v>
      </c>
      <c r="C4" t="inlineStr">
        <is>
          <t>Ananya</t>
        </is>
      </c>
      <c r="D4" t="inlineStr">
        <is>
          <t>Pune</t>
        </is>
      </c>
      <c r="E4" t="inlineStr">
        <is>
          <t>Headphones</t>
        </is>
      </c>
      <c r="F4" t="inlineStr">
        <is>
          <t>Accessories</t>
        </is>
      </c>
      <c r="G4" t="n">
        <v>2</v>
      </c>
      <c r="H4" s="3" t="n">
        <v>0.1</v>
      </c>
      <c r="I4" s="4" t="n">
        <v>8100</v>
      </c>
      <c r="J4" s="4" t="n">
        <v>5673.27</v>
      </c>
      <c r="K4" s="4" t="n">
        <v>2426.73</v>
      </c>
    </row>
    <row r="5">
      <c r="A5" t="n">
        <v>1004</v>
      </c>
      <c r="B5" s="2" t="n">
        <v>46023</v>
      </c>
      <c r="C5" t="inlineStr">
        <is>
          <t>Ishaan</t>
        </is>
      </c>
      <c r="D5" t="inlineStr">
        <is>
          <t>Pune</t>
        </is>
      </c>
      <c r="E5" t="inlineStr">
        <is>
          <t>Desk</t>
        </is>
      </c>
      <c r="F5" t="inlineStr">
        <is>
          <t>Furniture</t>
        </is>
      </c>
      <c r="G5" t="n">
        <v>2</v>
      </c>
      <c r="H5" s="3" t="n">
        <v>0.05</v>
      </c>
      <c r="I5" s="4" t="n">
        <v>22800</v>
      </c>
      <c r="J5" s="4" t="n">
        <v>15911.05</v>
      </c>
      <c r="K5" s="4" t="n">
        <v>6888.95</v>
      </c>
    </row>
    <row r="6">
      <c r="A6" t="n">
        <v>1005</v>
      </c>
      <c r="B6" s="2" t="n">
        <v>46047</v>
      </c>
      <c r="C6" t="inlineStr">
        <is>
          <t>Sneha</t>
        </is>
      </c>
      <c r="D6" t="inlineStr">
        <is>
          <t>Hyderabad</t>
        </is>
      </c>
      <c r="E6" t="inlineStr">
        <is>
          <t>Desk</t>
        </is>
      </c>
      <c r="F6" t="inlineStr">
        <is>
          <t>Furniture</t>
        </is>
      </c>
      <c r="G6" t="n">
        <v>3</v>
      </c>
      <c r="H6" s="3" t="n">
        <v>0.05</v>
      </c>
      <c r="I6" s="4" t="n">
        <v>34200</v>
      </c>
      <c r="J6" s="4" t="n">
        <v>20899.48</v>
      </c>
      <c r="K6" s="4" t="n">
        <v>13300.52</v>
      </c>
    </row>
    <row r="7">
      <c r="A7" t="n">
        <v>1006</v>
      </c>
      <c r="B7" s="2" t="n">
        <v>46034</v>
      </c>
      <c r="C7" t="inlineStr">
        <is>
          <t>Priya</t>
        </is>
      </c>
      <c r="D7" t="inlineStr">
        <is>
          <t>Chennai</t>
        </is>
      </c>
      <c r="E7" t="inlineStr">
        <is>
          <t>Smartphone</t>
        </is>
      </c>
      <c r="F7" t="inlineStr">
        <is>
          <t>Electronics</t>
        </is>
      </c>
      <c r="G7" t="n">
        <v>4</v>
      </c>
      <c r="H7" s="3" t="n">
        <v>0</v>
      </c>
      <c r="I7" s="4" t="n">
        <v>112000</v>
      </c>
      <c r="J7" s="4" t="n">
        <v>73001.14</v>
      </c>
      <c r="K7" s="4" t="n">
        <v>38998.86</v>
      </c>
    </row>
    <row r="8">
      <c r="A8" t="n">
        <v>1007</v>
      </c>
      <c r="B8" s="2" t="n">
        <v>46066</v>
      </c>
      <c r="C8" t="inlineStr">
        <is>
          <t>Diya</t>
        </is>
      </c>
      <c r="D8" t="inlineStr">
        <is>
          <t>Delhi</t>
        </is>
      </c>
      <c r="E8" t="inlineStr">
        <is>
          <t>Laptop</t>
        </is>
      </c>
      <c r="F8" t="inlineStr">
        <is>
          <t>Electronics</t>
        </is>
      </c>
      <c r="G8" t="n">
        <v>4</v>
      </c>
      <c r="H8" s="3" t="n">
        <v>0.1</v>
      </c>
      <c r="I8" s="4" t="n">
        <v>234000</v>
      </c>
      <c r="J8" s="4" t="n">
        <v>141561.86</v>
      </c>
      <c r="K8" s="4" t="n">
        <v>92438.14</v>
      </c>
    </row>
    <row r="9">
      <c r="A9" t="n">
        <v>1008</v>
      </c>
      <c r="B9" s="2" t="n">
        <v>46076</v>
      </c>
      <c r="C9" t="inlineStr">
        <is>
          <t>Diya</t>
        </is>
      </c>
      <c r="D9" t="inlineStr">
        <is>
          <t>Hyderabad</t>
        </is>
      </c>
      <c r="E9" t="inlineStr">
        <is>
          <t>Smartwatch</t>
        </is>
      </c>
      <c r="F9" t="inlineStr">
        <is>
          <t>Accessories</t>
        </is>
      </c>
      <c r="G9" t="n">
        <v>5</v>
      </c>
      <c r="H9" s="3" t="n">
        <v>0.05</v>
      </c>
      <c r="I9" s="4" t="n">
        <v>33250</v>
      </c>
      <c r="J9" s="4" t="n">
        <v>23124.39</v>
      </c>
      <c r="K9" s="4" t="n">
        <v>10125.61</v>
      </c>
    </row>
    <row r="10">
      <c r="A10" t="n">
        <v>1009</v>
      </c>
      <c r="B10" s="2" t="n">
        <v>46057</v>
      </c>
      <c r="C10" t="inlineStr">
        <is>
          <t>Arjun</t>
        </is>
      </c>
      <c r="D10" t="inlineStr">
        <is>
          <t>Chennai</t>
        </is>
      </c>
      <c r="E10" t="inlineStr">
        <is>
          <t>Headphones</t>
        </is>
      </c>
      <c r="F10" t="inlineStr">
        <is>
          <t>Accessories</t>
        </is>
      </c>
      <c r="G10" t="n">
        <v>3</v>
      </c>
      <c r="H10" s="3" t="n">
        <v>0</v>
      </c>
      <c r="I10" s="4" t="n">
        <v>13500</v>
      </c>
      <c r="J10" s="4" t="n">
        <v>10139.36</v>
      </c>
      <c r="K10" s="4" t="n">
        <v>3360.64</v>
      </c>
    </row>
    <row r="11">
      <c r="A11" t="n">
        <v>1010</v>
      </c>
      <c r="B11" s="2" t="n">
        <v>46060</v>
      </c>
      <c r="C11" t="inlineStr">
        <is>
          <t>Rahul</t>
        </is>
      </c>
      <c r="D11" t="inlineStr">
        <is>
          <t>Pune</t>
        </is>
      </c>
      <c r="E11" t="inlineStr">
        <is>
          <t>Printer</t>
        </is>
      </c>
      <c r="F11" t="inlineStr">
        <is>
          <t>Office</t>
        </is>
      </c>
      <c r="G11" t="n">
        <v>3</v>
      </c>
      <c r="H11" s="3" t="n">
        <v>0</v>
      </c>
      <c r="I11" s="4" t="n">
        <v>45000</v>
      </c>
      <c r="J11" s="4" t="n">
        <v>29431.63</v>
      </c>
      <c r="K11" s="4" t="n">
        <v>15568.37</v>
      </c>
    </row>
    <row r="12">
      <c r="A12" t="n">
        <v>1011</v>
      </c>
      <c r="B12" s="2" t="n">
        <v>46077</v>
      </c>
      <c r="C12" t="inlineStr">
        <is>
          <t>Ananya</t>
        </is>
      </c>
      <c r="D12" t="inlineStr">
        <is>
          <t>Bengaluru</t>
        </is>
      </c>
      <c r="E12" t="inlineStr">
        <is>
          <t>Smartphone</t>
        </is>
      </c>
      <c r="F12" t="inlineStr">
        <is>
          <t>Electronics</t>
        </is>
      </c>
      <c r="G12" t="n">
        <v>5</v>
      </c>
      <c r="H12" s="3" t="n">
        <v>0.1</v>
      </c>
      <c r="I12" s="4" t="n">
        <v>126000</v>
      </c>
      <c r="J12" s="4" t="n">
        <v>77392.69</v>
      </c>
      <c r="K12" s="4" t="n">
        <v>48607.31</v>
      </c>
    </row>
    <row r="13">
      <c r="A13" t="n">
        <v>1012</v>
      </c>
      <c r="B13" s="2" t="n">
        <v>46074</v>
      </c>
      <c r="C13" t="inlineStr">
        <is>
          <t>Vikram</t>
        </is>
      </c>
      <c r="D13" t="inlineStr">
        <is>
          <t>Bengaluru</t>
        </is>
      </c>
      <c r="E13" t="inlineStr">
        <is>
          <t>Printer</t>
        </is>
      </c>
      <c r="F13" t="inlineStr">
        <is>
          <t>Office</t>
        </is>
      </c>
      <c r="G13" t="n">
        <v>4</v>
      </c>
      <c r="H13" s="3" t="n">
        <v>0.05</v>
      </c>
      <c r="I13" s="4" t="n">
        <v>57000</v>
      </c>
      <c r="J13" s="4" t="n">
        <v>44340.57</v>
      </c>
      <c r="K13" s="4" t="n">
        <v>12659.43</v>
      </c>
    </row>
    <row r="14">
      <c r="A14" t="n">
        <v>1013</v>
      </c>
      <c r="B14" s="2" t="n">
        <v>46092</v>
      </c>
      <c r="C14" t="inlineStr">
        <is>
          <t>Arjun</t>
        </is>
      </c>
      <c r="D14" t="inlineStr">
        <is>
          <t>Chennai</t>
        </is>
      </c>
      <c r="E14" t="inlineStr">
        <is>
          <t>Office Chair</t>
        </is>
      </c>
      <c r="F14" t="inlineStr">
        <is>
          <t>Furniture</t>
        </is>
      </c>
      <c r="G14" t="n">
        <v>1</v>
      </c>
      <c r="H14" s="3" t="n">
        <v>0</v>
      </c>
      <c r="I14" s="4" t="n">
        <v>9000</v>
      </c>
      <c r="J14" s="4" t="n">
        <v>6699.24</v>
      </c>
      <c r="K14" s="4" t="n">
        <v>2300.76</v>
      </c>
    </row>
    <row r="15">
      <c r="A15" t="n">
        <v>1014</v>
      </c>
      <c r="B15" s="2" t="n">
        <v>46092</v>
      </c>
      <c r="C15" t="inlineStr">
        <is>
          <t>Ananya</t>
        </is>
      </c>
      <c r="D15" t="inlineStr">
        <is>
          <t>Pune</t>
        </is>
      </c>
      <c r="E15" t="inlineStr">
        <is>
          <t>Smartphone</t>
        </is>
      </c>
      <c r="F15" t="inlineStr">
        <is>
          <t>Electronics</t>
        </is>
      </c>
      <c r="G15" t="n">
        <v>2</v>
      </c>
      <c r="H15" s="3" t="n">
        <v>0.1</v>
      </c>
      <c r="I15" s="4" t="n">
        <v>50400</v>
      </c>
      <c r="J15" s="4" t="n">
        <v>38065.79</v>
      </c>
      <c r="K15" s="4" t="n">
        <v>12334.21</v>
      </c>
    </row>
    <row r="16">
      <c r="A16" t="n">
        <v>1015</v>
      </c>
      <c r="B16" s="2" t="n">
        <v>46090</v>
      </c>
      <c r="C16" t="inlineStr">
        <is>
          <t>Ishaan</t>
        </is>
      </c>
      <c r="D16" t="inlineStr">
        <is>
          <t>Bengaluru</t>
        </is>
      </c>
      <c r="E16" t="inlineStr">
        <is>
          <t>Printer</t>
        </is>
      </c>
      <c r="F16" t="inlineStr">
        <is>
          <t>Office</t>
        </is>
      </c>
      <c r="G16" t="n">
        <v>4</v>
      </c>
      <c r="H16" s="3" t="n">
        <v>0.1</v>
      </c>
      <c r="I16" s="4" t="n">
        <v>54000</v>
      </c>
      <c r="J16" s="4" t="n">
        <v>36275.6</v>
      </c>
      <c r="K16" s="4" t="n">
        <v>17724.4</v>
      </c>
    </row>
    <row r="17">
      <c r="A17" t="n">
        <v>1016</v>
      </c>
      <c r="B17" s="2" t="n">
        <v>46094</v>
      </c>
      <c r="C17" t="inlineStr">
        <is>
          <t>Sneha</t>
        </is>
      </c>
      <c r="D17" t="inlineStr">
        <is>
          <t>Bengaluru</t>
        </is>
      </c>
      <c r="E17" t="inlineStr">
        <is>
          <t>Smartwatch</t>
        </is>
      </c>
      <c r="F17" t="inlineStr">
        <is>
          <t>Accessories</t>
        </is>
      </c>
      <c r="G17" t="n">
        <v>5</v>
      </c>
      <c r="H17" s="3" t="n">
        <v>0.05</v>
      </c>
      <c r="I17" s="4" t="n">
        <v>33250</v>
      </c>
      <c r="J17" s="4" t="n">
        <v>25255.52</v>
      </c>
      <c r="K17" s="4" t="n">
        <v>7994.48</v>
      </c>
    </row>
    <row r="18">
      <c r="A18" t="n">
        <v>1017</v>
      </c>
      <c r="B18" s="2" t="n">
        <v>46083</v>
      </c>
      <c r="C18" t="inlineStr">
        <is>
          <t>Diya</t>
        </is>
      </c>
      <c r="D18" t="inlineStr">
        <is>
          <t>Bengaluru</t>
        </is>
      </c>
      <c r="E18" t="inlineStr">
        <is>
          <t>Tablet</t>
        </is>
      </c>
      <c r="F18" t="inlineStr">
        <is>
          <t>Electronics</t>
        </is>
      </c>
      <c r="G18" t="n">
        <v>5</v>
      </c>
      <c r="H18" s="3" t="n">
        <v>0.05</v>
      </c>
      <c r="I18" s="4" t="n">
        <v>104500</v>
      </c>
      <c r="J18" s="4" t="n">
        <v>62510.01</v>
      </c>
      <c r="K18" s="4" t="n">
        <v>41989.99</v>
      </c>
    </row>
    <row r="19">
      <c r="A19" t="n">
        <v>1018</v>
      </c>
      <c r="B19" s="2" t="n">
        <v>46094</v>
      </c>
      <c r="C19" t="inlineStr">
        <is>
          <t>Priya</t>
        </is>
      </c>
      <c r="D19" t="inlineStr">
        <is>
          <t>Mumbai</t>
        </is>
      </c>
      <c r="E19" t="inlineStr">
        <is>
          <t>Tablet</t>
        </is>
      </c>
      <c r="F19" t="inlineStr">
        <is>
          <t>Electronics</t>
        </is>
      </c>
      <c r="G19" t="n">
        <v>4</v>
      </c>
      <c r="H19" s="3" t="n">
        <v>0.1</v>
      </c>
      <c r="I19" s="4" t="n">
        <v>79200</v>
      </c>
      <c r="J19" s="4" t="n">
        <v>46942.28</v>
      </c>
      <c r="K19" s="4" t="n">
        <v>32257.72</v>
      </c>
    </row>
    <row r="20">
      <c r="A20" t="n">
        <v>1019</v>
      </c>
      <c r="B20" s="2" t="n">
        <v>46116</v>
      </c>
      <c r="C20" t="inlineStr">
        <is>
          <t>Vikram</t>
        </is>
      </c>
      <c r="D20" t="inlineStr">
        <is>
          <t>Chennai</t>
        </is>
      </c>
      <c r="E20" t="inlineStr">
        <is>
          <t>Smartwatch</t>
        </is>
      </c>
      <c r="F20" t="inlineStr">
        <is>
          <t>Accessories</t>
        </is>
      </c>
      <c r="G20" t="n">
        <v>5</v>
      </c>
      <c r="H20" s="3" t="n">
        <v>0</v>
      </c>
      <c r="I20" s="4" t="n">
        <v>35000</v>
      </c>
      <c r="J20" s="4" t="n">
        <v>25061.98</v>
      </c>
      <c r="K20" s="4" t="n">
        <v>9938.02</v>
      </c>
    </row>
    <row r="21">
      <c r="A21" t="n">
        <v>1020</v>
      </c>
      <c r="B21" s="2" t="n">
        <v>46127</v>
      </c>
      <c r="C21" t="inlineStr">
        <is>
          <t>Aarav</t>
        </is>
      </c>
      <c r="D21" t="inlineStr">
        <is>
          <t>Pune</t>
        </is>
      </c>
      <c r="E21" t="inlineStr">
        <is>
          <t>Office Chair</t>
        </is>
      </c>
      <c r="F21" t="inlineStr">
        <is>
          <t>Furniture</t>
        </is>
      </c>
      <c r="G21" t="n">
        <v>1</v>
      </c>
      <c r="H21" s="3" t="n">
        <v>0.05</v>
      </c>
      <c r="I21" s="4" t="n">
        <v>8550</v>
      </c>
      <c r="J21" s="4" t="n">
        <v>5702.45</v>
      </c>
      <c r="K21" s="4" t="n">
        <v>2847.55</v>
      </c>
    </row>
    <row r="22">
      <c r="A22" t="n">
        <v>1021</v>
      </c>
      <c r="B22" s="2" t="n">
        <v>46116</v>
      </c>
      <c r="C22" t="inlineStr">
        <is>
          <t>Rahul</t>
        </is>
      </c>
      <c r="D22" t="inlineStr">
        <is>
          <t>Pune</t>
        </is>
      </c>
      <c r="E22" t="inlineStr">
        <is>
          <t>Smartwatch</t>
        </is>
      </c>
      <c r="F22" t="inlineStr">
        <is>
          <t>Accessories</t>
        </is>
      </c>
      <c r="G22" t="n">
        <v>5</v>
      </c>
      <c r="H22" s="3" t="n">
        <v>0</v>
      </c>
      <c r="I22" s="4" t="n">
        <v>35000</v>
      </c>
      <c r="J22" s="4" t="n">
        <v>23853.77</v>
      </c>
      <c r="K22" s="4" t="n">
        <v>11146.23</v>
      </c>
    </row>
    <row r="23">
      <c r="A23" t="n">
        <v>1022</v>
      </c>
      <c r="B23" s="2" t="n">
        <v>46130</v>
      </c>
      <c r="C23" t="inlineStr">
        <is>
          <t>Vikram</t>
        </is>
      </c>
      <c r="D23" t="inlineStr">
        <is>
          <t>Hyderabad</t>
        </is>
      </c>
      <c r="E23" t="inlineStr">
        <is>
          <t>Headphones</t>
        </is>
      </c>
      <c r="F23" t="inlineStr">
        <is>
          <t>Accessories</t>
        </is>
      </c>
      <c r="G23" t="n">
        <v>2</v>
      </c>
      <c r="H23" s="3" t="n">
        <v>0.05</v>
      </c>
      <c r="I23" s="4" t="n">
        <v>8550</v>
      </c>
      <c r="J23" s="4" t="n">
        <v>6262.89</v>
      </c>
      <c r="K23" s="4" t="n">
        <v>2287.11</v>
      </c>
    </row>
    <row r="24">
      <c r="A24" t="n">
        <v>1023</v>
      </c>
      <c r="B24" s="2" t="n">
        <v>46124</v>
      </c>
      <c r="C24" t="inlineStr">
        <is>
          <t>Rahul</t>
        </is>
      </c>
      <c r="D24" t="inlineStr">
        <is>
          <t>Bengaluru</t>
        </is>
      </c>
      <c r="E24" t="inlineStr">
        <is>
          <t>Office Chair</t>
        </is>
      </c>
      <c r="F24" t="inlineStr">
        <is>
          <t>Furniture</t>
        </is>
      </c>
      <c r="G24" t="n">
        <v>4</v>
      </c>
      <c r="H24" s="3" t="n">
        <v>0</v>
      </c>
      <c r="I24" s="4" t="n">
        <v>36000</v>
      </c>
      <c r="J24" s="4" t="n">
        <v>21685.45</v>
      </c>
      <c r="K24" s="4" t="n">
        <v>14314.55</v>
      </c>
    </row>
    <row r="25">
      <c r="A25" t="n">
        <v>1024</v>
      </c>
      <c r="B25" s="2" t="n">
        <v>46115</v>
      </c>
      <c r="C25" t="inlineStr">
        <is>
          <t>Meera</t>
        </is>
      </c>
      <c r="D25" t="inlineStr">
        <is>
          <t>Hyderabad</t>
        </is>
      </c>
      <c r="E25" t="inlineStr">
        <is>
          <t>Laptop</t>
        </is>
      </c>
      <c r="F25" t="inlineStr">
        <is>
          <t>Electronics</t>
        </is>
      </c>
      <c r="G25" t="n">
        <v>2</v>
      </c>
      <c r="H25" s="3" t="n">
        <v>0.1</v>
      </c>
      <c r="I25" s="4" t="n">
        <v>117000</v>
      </c>
      <c r="J25" s="4" t="n">
        <v>90018.62</v>
      </c>
      <c r="K25" s="4" t="n">
        <v>26981.38</v>
      </c>
    </row>
    <row r="26">
      <c r="A26" t="n">
        <v>1025</v>
      </c>
      <c r="B26" s="2" t="n">
        <v>46160</v>
      </c>
      <c r="C26" t="inlineStr">
        <is>
          <t>Ishaan</t>
        </is>
      </c>
      <c r="D26" t="inlineStr">
        <is>
          <t>Chennai</t>
        </is>
      </c>
      <c r="E26" t="inlineStr">
        <is>
          <t>Tablet</t>
        </is>
      </c>
      <c r="F26" t="inlineStr">
        <is>
          <t>Electronics</t>
        </is>
      </c>
      <c r="G26" t="n">
        <v>2</v>
      </c>
      <c r="H26" s="3" t="n">
        <v>0.1</v>
      </c>
      <c r="I26" s="4" t="n">
        <v>39600</v>
      </c>
      <c r="J26" s="4" t="n">
        <v>26732.24</v>
      </c>
      <c r="K26" s="4" t="n">
        <v>12867.76</v>
      </c>
    </row>
    <row r="27">
      <c r="A27" t="n">
        <v>1026</v>
      </c>
      <c r="B27" s="2" t="n">
        <v>46165</v>
      </c>
      <c r="C27" t="inlineStr">
        <is>
          <t>Ananya</t>
        </is>
      </c>
      <c r="D27" t="inlineStr">
        <is>
          <t>Pune</t>
        </is>
      </c>
      <c r="E27" t="inlineStr">
        <is>
          <t>Desk</t>
        </is>
      </c>
      <c r="F27" t="inlineStr">
        <is>
          <t>Furniture</t>
        </is>
      </c>
      <c r="G27" t="n">
        <v>2</v>
      </c>
      <c r="H27" s="3" t="n">
        <v>0.1</v>
      </c>
      <c r="I27" s="4" t="n">
        <v>21600</v>
      </c>
      <c r="J27" s="4" t="n">
        <v>15790.75</v>
      </c>
      <c r="K27" s="4" t="n">
        <v>5809.25</v>
      </c>
    </row>
    <row r="28">
      <c r="A28" t="n">
        <v>1027</v>
      </c>
      <c r="B28" s="2" t="n">
        <v>46157</v>
      </c>
      <c r="C28" t="inlineStr">
        <is>
          <t>Vikram</t>
        </is>
      </c>
      <c r="D28" t="inlineStr">
        <is>
          <t>Mumbai</t>
        </is>
      </c>
      <c r="E28" t="inlineStr">
        <is>
          <t>Smartwatch</t>
        </is>
      </c>
      <c r="F28" t="inlineStr">
        <is>
          <t>Accessories</t>
        </is>
      </c>
      <c r="G28" t="n">
        <v>4</v>
      </c>
      <c r="H28" s="3" t="n">
        <v>0.1</v>
      </c>
      <c r="I28" s="4" t="n">
        <v>25200</v>
      </c>
      <c r="J28" s="4" t="n">
        <v>17891.39</v>
      </c>
      <c r="K28" s="4" t="n">
        <v>7308.61</v>
      </c>
    </row>
    <row r="29">
      <c r="A29" t="n">
        <v>1028</v>
      </c>
      <c r="B29" s="2" t="n">
        <v>46143</v>
      </c>
      <c r="C29" t="inlineStr">
        <is>
          <t>Priya</t>
        </is>
      </c>
      <c r="D29" t="inlineStr">
        <is>
          <t>Delhi</t>
        </is>
      </c>
      <c r="E29" t="inlineStr">
        <is>
          <t>Smartphone</t>
        </is>
      </c>
      <c r="F29" t="inlineStr">
        <is>
          <t>Electronics</t>
        </is>
      </c>
      <c r="G29" t="n">
        <v>2</v>
      </c>
      <c r="H29" s="3" t="n">
        <v>0</v>
      </c>
      <c r="I29" s="4" t="n">
        <v>56000</v>
      </c>
      <c r="J29" s="4" t="n">
        <v>33197.09</v>
      </c>
      <c r="K29" s="4" t="n">
        <v>22802.91</v>
      </c>
    </row>
    <row r="30">
      <c r="A30" t="n">
        <v>1029</v>
      </c>
      <c r="B30" s="2" t="n">
        <v>46165</v>
      </c>
      <c r="C30" t="inlineStr">
        <is>
          <t>Aarav</t>
        </is>
      </c>
      <c r="D30" t="inlineStr">
        <is>
          <t>Bengaluru</t>
        </is>
      </c>
      <c r="E30" t="inlineStr">
        <is>
          <t>Headphones</t>
        </is>
      </c>
      <c r="F30" t="inlineStr">
        <is>
          <t>Accessories</t>
        </is>
      </c>
      <c r="G30" t="n">
        <v>5</v>
      </c>
      <c r="H30" s="3" t="n">
        <v>0</v>
      </c>
      <c r="I30" s="4" t="n">
        <v>22500</v>
      </c>
      <c r="J30" s="4" t="n">
        <v>13082.36</v>
      </c>
      <c r="K30" s="4" t="n">
        <v>9417.639999999999</v>
      </c>
    </row>
    <row r="31">
      <c r="A31" t="n">
        <v>1030</v>
      </c>
      <c r="B31" s="2" t="n">
        <v>46150</v>
      </c>
      <c r="C31" t="inlineStr">
        <is>
          <t>Rahul</t>
        </is>
      </c>
      <c r="D31" t="inlineStr">
        <is>
          <t>Pune</t>
        </is>
      </c>
      <c r="E31" t="inlineStr">
        <is>
          <t>Smartphone</t>
        </is>
      </c>
      <c r="F31" t="inlineStr">
        <is>
          <t>Electronics</t>
        </is>
      </c>
      <c r="G31" t="n">
        <v>1</v>
      </c>
      <c r="H31" s="3" t="n">
        <v>0.05</v>
      </c>
      <c r="I31" s="4" t="n">
        <v>26600</v>
      </c>
      <c r="J31" s="4" t="n">
        <v>15804.96</v>
      </c>
      <c r="K31" s="4" t="n">
        <v>10795.04</v>
      </c>
    </row>
    <row r="32">
      <c r="A32" t="n">
        <v>1031</v>
      </c>
      <c r="B32" s="2" t="n">
        <v>46192</v>
      </c>
      <c r="C32" t="inlineStr">
        <is>
          <t>Priya</t>
        </is>
      </c>
      <c r="D32" t="inlineStr">
        <is>
          <t>Mumbai</t>
        </is>
      </c>
      <c r="E32" t="inlineStr">
        <is>
          <t>Printer</t>
        </is>
      </c>
      <c r="F32" t="inlineStr">
        <is>
          <t>Office</t>
        </is>
      </c>
      <c r="G32" t="n">
        <v>2</v>
      </c>
      <c r="H32" s="3" t="n">
        <v>0.1</v>
      </c>
      <c r="I32" s="4" t="n">
        <v>27000</v>
      </c>
      <c r="J32" s="4" t="n">
        <v>16374.48</v>
      </c>
      <c r="K32" s="4" t="n">
        <v>10625.52</v>
      </c>
    </row>
    <row r="33">
      <c r="A33" t="n">
        <v>1032</v>
      </c>
      <c r="B33" s="2" t="n">
        <v>46177</v>
      </c>
      <c r="C33" t="inlineStr">
        <is>
          <t>Arjun</t>
        </is>
      </c>
      <c r="D33" t="inlineStr">
        <is>
          <t>Chennai</t>
        </is>
      </c>
      <c r="E33" t="inlineStr">
        <is>
          <t>Headphones</t>
        </is>
      </c>
      <c r="F33" t="inlineStr">
        <is>
          <t>Accessories</t>
        </is>
      </c>
      <c r="G33" t="n">
        <v>4</v>
      </c>
      <c r="H33" s="3" t="n">
        <v>0.05</v>
      </c>
      <c r="I33" s="4" t="n">
        <v>17100</v>
      </c>
      <c r="J33" s="4" t="n">
        <v>10569.2</v>
      </c>
      <c r="K33" s="4" t="n">
        <v>6530.8</v>
      </c>
    </row>
    <row r="34">
      <c r="A34" t="n">
        <v>1033</v>
      </c>
      <c r="B34" s="2" t="n">
        <v>46175</v>
      </c>
      <c r="C34" t="inlineStr">
        <is>
          <t>Diya</t>
        </is>
      </c>
      <c r="D34" t="inlineStr">
        <is>
          <t>Hyderabad</t>
        </is>
      </c>
      <c r="E34" t="inlineStr">
        <is>
          <t>Desk</t>
        </is>
      </c>
      <c r="F34" t="inlineStr">
        <is>
          <t>Furniture</t>
        </is>
      </c>
      <c r="G34" t="n">
        <v>4</v>
      </c>
      <c r="H34" s="3" t="n">
        <v>0.05</v>
      </c>
      <c r="I34" s="4" t="n">
        <v>45600</v>
      </c>
      <c r="J34" s="4" t="n">
        <v>34326.19</v>
      </c>
      <c r="K34" s="4" t="n">
        <v>11273.81</v>
      </c>
    </row>
    <row r="35">
      <c r="A35" t="n">
        <v>1034</v>
      </c>
      <c r="B35" s="2" t="n">
        <v>46180</v>
      </c>
      <c r="C35" t="inlineStr">
        <is>
          <t>Vikram</t>
        </is>
      </c>
      <c r="D35" t="inlineStr">
        <is>
          <t>Mumbai</t>
        </is>
      </c>
      <c r="E35" t="inlineStr">
        <is>
          <t>Desk</t>
        </is>
      </c>
      <c r="F35" t="inlineStr">
        <is>
          <t>Furniture</t>
        </is>
      </c>
      <c r="G35" t="n">
        <v>3</v>
      </c>
      <c r="H35" s="3" t="n">
        <v>0</v>
      </c>
      <c r="I35" s="4" t="n">
        <v>36000</v>
      </c>
      <c r="J35" s="4" t="n">
        <v>22670.33</v>
      </c>
      <c r="K35" s="4" t="n">
        <v>13329.67</v>
      </c>
    </row>
    <row r="36">
      <c r="A36" t="n">
        <v>1035</v>
      </c>
      <c r="B36" s="2" t="n">
        <v>46181</v>
      </c>
      <c r="C36" t="inlineStr">
        <is>
          <t>Diya</t>
        </is>
      </c>
      <c r="D36" t="inlineStr">
        <is>
          <t>Mumbai</t>
        </is>
      </c>
      <c r="E36" t="inlineStr">
        <is>
          <t>Tablet</t>
        </is>
      </c>
      <c r="F36" t="inlineStr">
        <is>
          <t>Electronics</t>
        </is>
      </c>
      <c r="G36" t="n">
        <v>4</v>
      </c>
      <c r="H36" s="3" t="n">
        <v>0</v>
      </c>
      <c r="I36" s="4" t="n">
        <v>88000</v>
      </c>
      <c r="J36" s="4" t="n">
        <v>55942.39</v>
      </c>
      <c r="K36" s="4" t="n">
        <v>32057.61</v>
      </c>
    </row>
    <row r="37">
      <c r="A37" t="n">
        <v>1036</v>
      </c>
      <c r="B37" s="2" t="n">
        <v>46174</v>
      </c>
      <c r="C37" t="inlineStr">
        <is>
          <t>Diya</t>
        </is>
      </c>
      <c r="D37" t="inlineStr">
        <is>
          <t>Bengaluru</t>
        </is>
      </c>
      <c r="E37" t="inlineStr">
        <is>
          <t>Smartphone</t>
        </is>
      </c>
      <c r="F37" t="inlineStr">
        <is>
          <t>Electronics</t>
        </is>
      </c>
      <c r="G37" t="n">
        <v>1</v>
      </c>
      <c r="H37" s="3" t="n">
        <v>0.1</v>
      </c>
      <c r="I37" s="4" t="n">
        <v>25200</v>
      </c>
      <c r="J37" s="4" t="n">
        <v>19652.38</v>
      </c>
      <c r="K37" s="4" t="n">
        <v>5547.62</v>
      </c>
    </row>
    <row r="38">
      <c r="A38" t="n">
        <v>1037</v>
      </c>
      <c r="B38" s="2" t="n">
        <v>46216</v>
      </c>
      <c r="C38" t="inlineStr">
        <is>
          <t>Aarav</t>
        </is>
      </c>
      <c r="D38" t="inlineStr">
        <is>
          <t>Bengaluru</t>
        </is>
      </c>
      <c r="E38" t="inlineStr">
        <is>
          <t>Tablet</t>
        </is>
      </c>
      <c r="F38" t="inlineStr">
        <is>
          <t>Electronics</t>
        </is>
      </c>
      <c r="G38" t="n">
        <v>4</v>
      </c>
      <c r="H38" s="3" t="n">
        <v>0.05</v>
      </c>
      <c r="I38" s="4" t="n">
        <v>83600</v>
      </c>
      <c r="J38" s="4" t="n">
        <v>56536.31</v>
      </c>
      <c r="K38" s="4" t="n">
        <v>27063.69</v>
      </c>
    </row>
    <row r="39">
      <c r="A39" t="n">
        <v>1038</v>
      </c>
      <c r="B39" s="2" t="n">
        <v>46218</v>
      </c>
      <c r="C39" t="inlineStr">
        <is>
          <t>Rahul</t>
        </is>
      </c>
      <c r="D39" t="inlineStr">
        <is>
          <t>Mumbai</t>
        </is>
      </c>
      <c r="E39" t="inlineStr">
        <is>
          <t>Desk</t>
        </is>
      </c>
      <c r="F39" t="inlineStr">
        <is>
          <t>Furniture</t>
        </is>
      </c>
      <c r="G39" t="n">
        <v>1</v>
      </c>
      <c r="H39" s="3" t="n">
        <v>0.05</v>
      </c>
      <c r="I39" s="4" t="n">
        <v>11400</v>
      </c>
      <c r="J39" s="4" t="n">
        <v>7216.66</v>
      </c>
      <c r="K39" s="4" t="n">
        <v>4183.34</v>
      </c>
    </row>
    <row r="40">
      <c r="A40" t="n">
        <v>1039</v>
      </c>
      <c r="B40" s="2" t="n">
        <v>46205</v>
      </c>
      <c r="C40" t="inlineStr">
        <is>
          <t>Priya</t>
        </is>
      </c>
      <c r="D40" t="inlineStr">
        <is>
          <t>Pune</t>
        </is>
      </c>
      <c r="E40" t="inlineStr">
        <is>
          <t>Printer</t>
        </is>
      </c>
      <c r="F40" t="inlineStr">
        <is>
          <t>Office</t>
        </is>
      </c>
      <c r="G40" t="n">
        <v>2</v>
      </c>
      <c r="H40" s="3" t="n">
        <v>0</v>
      </c>
      <c r="I40" s="4" t="n">
        <v>30000</v>
      </c>
      <c r="J40" s="4" t="n">
        <v>19180.25</v>
      </c>
      <c r="K40" s="4" t="n">
        <v>10819.75</v>
      </c>
    </row>
    <row r="41">
      <c r="A41" t="n">
        <v>1040</v>
      </c>
      <c r="B41" s="2" t="n">
        <v>46219</v>
      </c>
      <c r="C41" t="inlineStr">
        <is>
          <t>Vikram</t>
        </is>
      </c>
      <c r="D41" t="inlineStr">
        <is>
          <t>Delhi</t>
        </is>
      </c>
      <c r="E41" t="inlineStr">
        <is>
          <t>Laptop</t>
        </is>
      </c>
      <c r="F41" t="inlineStr">
        <is>
          <t>Electronics</t>
        </is>
      </c>
      <c r="G41" t="n">
        <v>3</v>
      </c>
      <c r="H41" s="3" t="n">
        <v>0</v>
      </c>
      <c r="I41" s="4" t="n">
        <v>195000</v>
      </c>
      <c r="J41" s="4" t="n">
        <v>115055.55</v>
      </c>
      <c r="K41" s="4" t="n">
        <v>79944.45</v>
      </c>
    </row>
    <row r="42">
      <c r="A42" t="n">
        <v>1041</v>
      </c>
      <c r="B42" s="2" t="n">
        <v>46209</v>
      </c>
      <c r="C42" t="inlineStr">
        <is>
          <t>Diya</t>
        </is>
      </c>
      <c r="D42" t="inlineStr">
        <is>
          <t>Delhi</t>
        </is>
      </c>
      <c r="E42" t="inlineStr">
        <is>
          <t>Tablet</t>
        </is>
      </c>
      <c r="F42" t="inlineStr">
        <is>
          <t>Electronics</t>
        </is>
      </c>
      <c r="G42" t="n">
        <v>1</v>
      </c>
      <c r="H42" s="3" t="n">
        <v>0.1</v>
      </c>
      <c r="I42" s="4" t="n">
        <v>19800</v>
      </c>
      <c r="J42" s="4" t="n">
        <v>11801.24</v>
      </c>
      <c r="K42" s="4" t="n">
        <v>7998.76</v>
      </c>
    </row>
    <row r="43">
      <c r="A43" t="n">
        <v>1042</v>
      </c>
      <c r="B43" s="2" t="n">
        <v>46222</v>
      </c>
      <c r="C43" t="inlineStr">
        <is>
          <t>Ananya</t>
        </is>
      </c>
      <c r="D43" t="inlineStr">
        <is>
          <t>Delhi</t>
        </is>
      </c>
      <c r="E43" t="inlineStr">
        <is>
          <t>Smartphone</t>
        </is>
      </c>
      <c r="F43" t="inlineStr">
        <is>
          <t>Electronics</t>
        </is>
      </c>
      <c r="G43" t="n">
        <v>2</v>
      </c>
      <c r="H43" s="3" t="n">
        <v>0.05</v>
      </c>
      <c r="I43" s="4" t="n">
        <v>53200</v>
      </c>
      <c r="J43" s="4" t="n">
        <v>32131.59</v>
      </c>
      <c r="K43" s="4" t="n">
        <v>21068.41</v>
      </c>
    </row>
    <row r="44">
      <c r="A44" t="n">
        <v>1043</v>
      </c>
      <c r="B44" s="2" t="n">
        <v>46253</v>
      </c>
      <c r="C44" t="inlineStr">
        <is>
          <t>Priya</t>
        </is>
      </c>
      <c r="D44" t="inlineStr">
        <is>
          <t>Delhi</t>
        </is>
      </c>
      <c r="E44" t="inlineStr">
        <is>
          <t>Laptop</t>
        </is>
      </c>
      <c r="F44" t="inlineStr">
        <is>
          <t>Electronics</t>
        </is>
      </c>
      <c r="G44" t="n">
        <v>5</v>
      </c>
      <c r="H44" s="3" t="n">
        <v>0</v>
      </c>
      <c r="I44" s="4" t="n">
        <v>325000</v>
      </c>
      <c r="J44" s="4" t="n">
        <v>215749.62</v>
      </c>
      <c r="K44" s="4" t="n">
        <v>109250.38</v>
      </c>
    </row>
    <row r="45">
      <c r="A45" t="n">
        <v>1044</v>
      </c>
      <c r="B45" s="2" t="n">
        <v>46245</v>
      </c>
      <c r="C45" t="inlineStr">
        <is>
          <t>Ananya</t>
        </is>
      </c>
      <c r="D45" t="inlineStr">
        <is>
          <t>Chennai</t>
        </is>
      </c>
      <c r="E45" t="inlineStr">
        <is>
          <t>Office Chair</t>
        </is>
      </c>
      <c r="F45" t="inlineStr">
        <is>
          <t>Furniture</t>
        </is>
      </c>
      <c r="G45" t="n">
        <v>3</v>
      </c>
      <c r="H45" s="3" t="n">
        <v>0</v>
      </c>
      <c r="I45" s="4" t="n">
        <v>27000</v>
      </c>
      <c r="J45" s="4" t="n">
        <v>19276.52</v>
      </c>
      <c r="K45" s="4" t="n">
        <v>7723.48</v>
      </c>
    </row>
    <row r="46">
      <c r="A46" t="n">
        <v>1045</v>
      </c>
      <c r="B46" s="2" t="n">
        <v>46249</v>
      </c>
      <c r="C46" t="inlineStr">
        <is>
          <t>Sneha</t>
        </is>
      </c>
      <c r="D46" t="inlineStr">
        <is>
          <t>Hyderabad</t>
        </is>
      </c>
      <c r="E46" t="inlineStr">
        <is>
          <t>Desk</t>
        </is>
      </c>
      <c r="F46" t="inlineStr">
        <is>
          <t>Furniture</t>
        </is>
      </c>
      <c r="G46" t="n">
        <v>2</v>
      </c>
      <c r="H46" s="3" t="n">
        <v>0.1</v>
      </c>
      <c r="I46" s="4" t="n">
        <v>21600</v>
      </c>
      <c r="J46" s="4" t="n">
        <v>15316.56</v>
      </c>
      <c r="K46" s="4" t="n">
        <v>6283.44</v>
      </c>
    </row>
    <row r="47">
      <c r="A47" t="n">
        <v>1046</v>
      </c>
      <c r="B47" s="2" t="n">
        <v>46238</v>
      </c>
      <c r="C47" t="inlineStr">
        <is>
          <t>Diya</t>
        </is>
      </c>
      <c r="D47" t="inlineStr">
        <is>
          <t>Delhi</t>
        </is>
      </c>
      <c r="E47" t="inlineStr">
        <is>
          <t>Laptop</t>
        </is>
      </c>
      <c r="F47" t="inlineStr">
        <is>
          <t>Electronics</t>
        </is>
      </c>
      <c r="G47" t="n">
        <v>4</v>
      </c>
      <c r="H47" s="3" t="n">
        <v>0.1</v>
      </c>
      <c r="I47" s="4" t="n">
        <v>234000</v>
      </c>
      <c r="J47" s="4" t="n">
        <v>182447.67</v>
      </c>
      <c r="K47" s="4" t="n">
        <v>51552.33</v>
      </c>
    </row>
    <row r="48">
      <c r="A48" t="n">
        <v>1047</v>
      </c>
      <c r="B48" s="2" t="n">
        <v>46246</v>
      </c>
      <c r="C48" t="inlineStr">
        <is>
          <t>Diya</t>
        </is>
      </c>
      <c r="D48" t="inlineStr">
        <is>
          <t>Bengaluru</t>
        </is>
      </c>
      <c r="E48" t="inlineStr">
        <is>
          <t>Headphones</t>
        </is>
      </c>
      <c r="F48" t="inlineStr">
        <is>
          <t>Accessories</t>
        </is>
      </c>
      <c r="G48" t="n">
        <v>5</v>
      </c>
      <c r="H48" s="3" t="n">
        <v>0.05</v>
      </c>
      <c r="I48" s="4" t="n">
        <v>21375</v>
      </c>
      <c r="J48" s="4" t="n">
        <v>12963.75</v>
      </c>
      <c r="K48" s="4" t="n">
        <v>8411.25</v>
      </c>
    </row>
    <row r="49">
      <c r="A49" t="n">
        <v>1048</v>
      </c>
      <c r="B49" s="2" t="n">
        <v>46252</v>
      </c>
      <c r="C49" t="inlineStr">
        <is>
          <t>Rahul</t>
        </is>
      </c>
      <c r="D49" t="inlineStr">
        <is>
          <t>Delhi</t>
        </is>
      </c>
      <c r="E49" t="inlineStr">
        <is>
          <t>Office Chair</t>
        </is>
      </c>
      <c r="F49" t="inlineStr">
        <is>
          <t>Furniture</t>
        </is>
      </c>
      <c r="G49" t="n">
        <v>3</v>
      </c>
      <c r="H49" s="3" t="n">
        <v>0</v>
      </c>
      <c r="I49" s="4" t="n">
        <v>27000</v>
      </c>
      <c r="J49" s="4" t="n">
        <v>18026.2</v>
      </c>
      <c r="K49" s="4" t="n">
        <v>8973.799999999999</v>
      </c>
    </row>
    <row r="50">
      <c r="A50" t="n">
        <v>1049</v>
      </c>
      <c r="B50" s="2" t="n">
        <v>46269</v>
      </c>
      <c r="C50" t="inlineStr">
        <is>
          <t>Ishaan</t>
        </is>
      </c>
      <c r="D50" t="inlineStr">
        <is>
          <t>Chennai</t>
        </is>
      </c>
      <c r="E50" t="inlineStr">
        <is>
          <t>Laptop</t>
        </is>
      </c>
      <c r="F50" t="inlineStr">
        <is>
          <t>Electronics</t>
        </is>
      </c>
      <c r="G50" t="n">
        <v>5</v>
      </c>
      <c r="H50" s="3" t="n">
        <v>0.05</v>
      </c>
      <c r="I50" s="4" t="n">
        <v>308750</v>
      </c>
      <c r="J50" s="4" t="n">
        <v>236610.94</v>
      </c>
      <c r="K50" s="4" t="n">
        <v>72139.06</v>
      </c>
    </row>
    <row r="51">
      <c r="A51" t="n">
        <v>1050</v>
      </c>
      <c r="B51" s="2" t="n">
        <v>46274</v>
      </c>
      <c r="C51" t="inlineStr">
        <is>
          <t>Rahul</t>
        </is>
      </c>
      <c r="D51" t="inlineStr">
        <is>
          <t>Delhi</t>
        </is>
      </c>
      <c r="E51" t="inlineStr">
        <is>
          <t>Smartphone</t>
        </is>
      </c>
      <c r="F51" t="inlineStr">
        <is>
          <t>Electronics</t>
        </is>
      </c>
      <c r="G51" t="n">
        <v>1</v>
      </c>
      <c r="H51" s="3" t="n">
        <v>0.1</v>
      </c>
      <c r="I51" s="4" t="n">
        <v>25200</v>
      </c>
      <c r="J51" s="4" t="n">
        <v>17404.25</v>
      </c>
      <c r="K51" s="4" t="n">
        <v>7795.75</v>
      </c>
    </row>
    <row r="52">
      <c r="A52" t="n">
        <v>1051</v>
      </c>
      <c r="B52" s="2" t="n">
        <v>46274</v>
      </c>
      <c r="C52" t="inlineStr">
        <is>
          <t>Vikram</t>
        </is>
      </c>
      <c r="D52" t="inlineStr">
        <is>
          <t>Mumbai</t>
        </is>
      </c>
      <c r="E52" t="inlineStr">
        <is>
          <t>Headphones</t>
        </is>
      </c>
      <c r="F52" t="inlineStr">
        <is>
          <t>Accessories</t>
        </is>
      </c>
      <c r="G52" t="n">
        <v>3</v>
      </c>
      <c r="H52" s="3" t="n">
        <v>0</v>
      </c>
      <c r="I52" s="4" t="n">
        <v>13500</v>
      </c>
      <c r="J52" s="4" t="n">
        <v>9686.24</v>
      </c>
      <c r="K52" s="4" t="n">
        <v>3813.76</v>
      </c>
    </row>
    <row r="53">
      <c r="A53" t="n">
        <v>1052</v>
      </c>
      <c r="B53" s="2" t="n">
        <v>46274</v>
      </c>
      <c r="C53" t="inlineStr">
        <is>
          <t>Aarav</t>
        </is>
      </c>
      <c r="D53" t="inlineStr">
        <is>
          <t>Hyderabad</t>
        </is>
      </c>
      <c r="E53" t="inlineStr">
        <is>
          <t>Smartwatch</t>
        </is>
      </c>
      <c r="F53" t="inlineStr">
        <is>
          <t>Accessories</t>
        </is>
      </c>
      <c r="G53" t="n">
        <v>1</v>
      </c>
      <c r="H53" s="3" t="n">
        <v>0</v>
      </c>
      <c r="I53" s="4" t="n">
        <v>7000</v>
      </c>
      <c r="J53" s="4" t="n">
        <v>4948</v>
      </c>
      <c r="K53" s="4" t="n">
        <v>2052</v>
      </c>
    </row>
    <row r="54">
      <c r="A54" t="n">
        <v>1053</v>
      </c>
      <c r="B54" s="2" t="n">
        <v>46271</v>
      </c>
      <c r="C54" t="inlineStr">
        <is>
          <t>Meera</t>
        </is>
      </c>
      <c r="D54" t="inlineStr">
        <is>
          <t>Delhi</t>
        </is>
      </c>
      <c r="E54" t="inlineStr">
        <is>
          <t>Office Chair</t>
        </is>
      </c>
      <c r="F54" t="inlineStr">
        <is>
          <t>Furniture</t>
        </is>
      </c>
      <c r="G54" t="n">
        <v>2</v>
      </c>
      <c r="H54" s="3" t="n">
        <v>0.1</v>
      </c>
      <c r="I54" s="4" t="n">
        <v>16200</v>
      </c>
      <c r="J54" s="4" t="n">
        <v>12570.55</v>
      </c>
      <c r="K54" s="4" t="n">
        <v>3629.45</v>
      </c>
    </row>
    <row r="55">
      <c r="A55" t="n">
        <v>1054</v>
      </c>
      <c r="B55" s="2" t="n">
        <v>46288</v>
      </c>
      <c r="C55" t="inlineStr">
        <is>
          <t>Ishaan</t>
        </is>
      </c>
      <c r="D55" t="inlineStr">
        <is>
          <t>Delhi</t>
        </is>
      </c>
      <c r="E55" t="inlineStr">
        <is>
          <t>Desk</t>
        </is>
      </c>
      <c r="F55" t="inlineStr">
        <is>
          <t>Furniture</t>
        </is>
      </c>
      <c r="G55" t="n">
        <v>5</v>
      </c>
      <c r="H55" s="3" t="n">
        <v>0</v>
      </c>
      <c r="I55" s="4" t="n">
        <v>60000</v>
      </c>
      <c r="J55" s="4" t="n">
        <v>36142.49</v>
      </c>
      <c r="K55" s="4" t="n">
        <v>23857.51</v>
      </c>
    </row>
    <row r="56">
      <c r="A56" t="n">
        <v>1055</v>
      </c>
      <c r="B56" s="2" t="n">
        <v>46309</v>
      </c>
      <c r="C56" t="inlineStr">
        <is>
          <t>Ishaan</t>
        </is>
      </c>
      <c r="D56" t="inlineStr">
        <is>
          <t>Hyderabad</t>
        </is>
      </c>
      <c r="E56" t="inlineStr">
        <is>
          <t>Laptop</t>
        </is>
      </c>
      <c r="F56" t="inlineStr">
        <is>
          <t>Electronics</t>
        </is>
      </c>
      <c r="G56" t="n">
        <v>3</v>
      </c>
      <c r="H56" s="3" t="n">
        <v>0.1</v>
      </c>
      <c r="I56" s="4" t="n">
        <v>175500</v>
      </c>
      <c r="J56" s="4" t="n">
        <v>121183.63</v>
      </c>
      <c r="K56" s="4" t="n">
        <v>54316.37</v>
      </c>
    </row>
    <row r="57">
      <c r="A57" t="n">
        <v>1056</v>
      </c>
      <c r="B57" s="2" t="n">
        <v>46302</v>
      </c>
      <c r="C57" t="inlineStr">
        <is>
          <t>Ananya</t>
        </is>
      </c>
      <c r="D57" t="inlineStr">
        <is>
          <t>Pune</t>
        </is>
      </c>
      <c r="E57" t="inlineStr">
        <is>
          <t>Smartwatch</t>
        </is>
      </c>
      <c r="F57" t="inlineStr">
        <is>
          <t>Accessories</t>
        </is>
      </c>
      <c r="G57" t="n">
        <v>3</v>
      </c>
      <c r="H57" s="3" t="n">
        <v>0</v>
      </c>
      <c r="I57" s="4" t="n">
        <v>21000</v>
      </c>
      <c r="J57" s="4" t="n">
        <v>15955.48</v>
      </c>
      <c r="K57" s="4" t="n">
        <v>5044.52</v>
      </c>
    </row>
    <row r="58">
      <c r="A58" t="n">
        <v>1057</v>
      </c>
      <c r="B58" s="2" t="n">
        <v>46309</v>
      </c>
      <c r="C58" t="inlineStr">
        <is>
          <t>Priya</t>
        </is>
      </c>
      <c r="D58" t="inlineStr">
        <is>
          <t>Pune</t>
        </is>
      </c>
      <c r="E58" t="inlineStr">
        <is>
          <t>Smartphone</t>
        </is>
      </c>
      <c r="F58" t="inlineStr">
        <is>
          <t>Electronics</t>
        </is>
      </c>
      <c r="G58" t="n">
        <v>3</v>
      </c>
      <c r="H58" s="3" t="n">
        <v>0.1</v>
      </c>
      <c r="I58" s="4" t="n">
        <v>75600</v>
      </c>
      <c r="J58" s="4" t="n">
        <v>57216.12</v>
      </c>
      <c r="K58" s="4" t="n">
        <v>18383.88</v>
      </c>
    </row>
    <row r="59">
      <c r="A59" t="n">
        <v>1058</v>
      </c>
      <c r="B59" s="2" t="n">
        <v>46301</v>
      </c>
      <c r="C59" t="inlineStr">
        <is>
          <t>Arjun</t>
        </is>
      </c>
      <c r="D59" t="inlineStr">
        <is>
          <t>Hyderabad</t>
        </is>
      </c>
      <c r="E59" t="inlineStr">
        <is>
          <t>Tablet</t>
        </is>
      </c>
      <c r="F59" t="inlineStr">
        <is>
          <t>Electronics</t>
        </is>
      </c>
      <c r="G59" t="n">
        <v>2</v>
      </c>
      <c r="H59" s="3" t="n">
        <v>0</v>
      </c>
      <c r="I59" s="4" t="n">
        <v>44000</v>
      </c>
      <c r="J59" s="4" t="n">
        <v>34110.61</v>
      </c>
      <c r="K59" s="4" t="n">
        <v>9889.389999999999</v>
      </c>
    </row>
    <row r="60">
      <c r="A60" t="n">
        <v>1059</v>
      </c>
      <c r="B60" s="2" t="n">
        <v>46319</v>
      </c>
      <c r="C60" t="inlineStr">
        <is>
          <t>Ananya</t>
        </is>
      </c>
      <c r="D60" t="inlineStr">
        <is>
          <t>Chennai</t>
        </is>
      </c>
      <c r="E60" t="inlineStr">
        <is>
          <t>Tablet</t>
        </is>
      </c>
      <c r="F60" t="inlineStr">
        <is>
          <t>Electronics</t>
        </is>
      </c>
      <c r="G60" t="n">
        <v>3</v>
      </c>
      <c r="H60" s="3" t="n">
        <v>0.05</v>
      </c>
      <c r="I60" s="4" t="n">
        <v>62700</v>
      </c>
      <c r="J60" s="4" t="n">
        <v>46426.03</v>
      </c>
      <c r="K60" s="4" t="n">
        <v>16273.97</v>
      </c>
    </row>
    <row r="61">
      <c r="A61" t="n">
        <v>1060</v>
      </c>
      <c r="B61" s="2" t="n">
        <v>46311</v>
      </c>
      <c r="C61" t="inlineStr">
        <is>
          <t>Ananya</t>
        </is>
      </c>
      <c r="D61" t="inlineStr">
        <is>
          <t>Bengaluru</t>
        </is>
      </c>
      <c r="E61" t="inlineStr">
        <is>
          <t>Tablet</t>
        </is>
      </c>
      <c r="F61" t="inlineStr">
        <is>
          <t>Electronics</t>
        </is>
      </c>
      <c r="G61" t="n">
        <v>1</v>
      </c>
      <c r="H61" s="3" t="n">
        <v>0.05</v>
      </c>
      <c r="I61" s="4" t="n">
        <v>20900</v>
      </c>
      <c r="J61" s="4" t="n">
        <v>15767.66</v>
      </c>
      <c r="K61" s="4" t="n">
        <v>5132.34</v>
      </c>
    </row>
    <row r="62">
      <c r="A62" t="n">
        <v>1061</v>
      </c>
      <c r="B62" s="2" t="n">
        <v>46334</v>
      </c>
      <c r="C62" t="inlineStr">
        <is>
          <t>Ananya</t>
        </is>
      </c>
      <c r="D62" t="inlineStr">
        <is>
          <t>Hyderabad</t>
        </is>
      </c>
      <c r="E62" t="inlineStr">
        <is>
          <t>Printer</t>
        </is>
      </c>
      <c r="F62" t="inlineStr">
        <is>
          <t>Office</t>
        </is>
      </c>
      <c r="G62" t="n">
        <v>3</v>
      </c>
      <c r="H62" s="3" t="n">
        <v>0.05</v>
      </c>
      <c r="I62" s="4" t="n">
        <v>42750</v>
      </c>
      <c r="J62" s="4" t="n">
        <v>31810.59</v>
      </c>
      <c r="K62" s="4" t="n">
        <v>10939.41</v>
      </c>
    </row>
    <row r="63">
      <c r="A63" t="n">
        <v>1062</v>
      </c>
      <c r="B63" s="2" t="n">
        <v>46329</v>
      </c>
      <c r="C63" t="inlineStr">
        <is>
          <t>Rahul</t>
        </is>
      </c>
      <c r="D63" t="inlineStr">
        <is>
          <t>Chennai</t>
        </is>
      </c>
      <c r="E63" t="inlineStr">
        <is>
          <t>Headphones</t>
        </is>
      </c>
      <c r="F63" t="inlineStr">
        <is>
          <t>Accessories</t>
        </is>
      </c>
      <c r="G63" t="n">
        <v>4</v>
      </c>
      <c r="H63" s="3" t="n">
        <v>0.05</v>
      </c>
      <c r="I63" s="4" t="n">
        <v>17100</v>
      </c>
      <c r="J63" s="4" t="n">
        <v>10870.82</v>
      </c>
      <c r="K63" s="4" t="n">
        <v>6229.18</v>
      </c>
    </row>
    <row r="64">
      <c r="A64" t="n">
        <v>1063</v>
      </c>
      <c r="B64" s="2" t="n">
        <v>46330</v>
      </c>
      <c r="C64" t="inlineStr">
        <is>
          <t>Rahul</t>
        </is>
      </c>
      <c r="D64" t="inlineStr">
        <is>
          <t>Bengaluru</t>
        </is>
      </c>
      <c r="E64" t="inlineStr">
        <is>
          <t>Desk</t>
        </is>
      </c>
      <c r="F64" t="inlineStr">
        <is>
          <t>Furniture</t>
        </is>
      </c>
      <c r="G64" t="n">
        <v>5</v>
      </c>
      <c r="H64" s="3" t="n">
        <v>0.05</v>
      </c>
      <c r="I64" s="4" t="n">
        <v>57000</v>
      </c>
      <c r="J64" s="4" t="n">
        <v>43767.3</v>
      </c>
      <c r="K64" s="4" t="n">
        <v>13232.7</v>
      </c>
    </row>
    <row r="65">
      <c r="A65" t="n">
        <v>1064</v>
      </c>
      <c r="B65" s="2" t="n">
        <v>46338</v>
      </c>
      <c r="C65" t="inlineStr">
        <is>
          <t>Sneha</t>
        </is>
      </c>
      <c r="D65" t="inlineStr">
        <is>
          <t>Mumbai</t>
        </is>
      </c>
      <c r="E65" t="inlineStr">
        <is>
          <t>Smartwatch</t>
        </is>
      </c>
      <c r="F65" t="inlineStr">
        <is>
          <t>Accessories</t>
        </is>
      </c>
      <c r="G65" t="n">
        <v>1</v>
      </c>
      <c r="H65" s="3" t="n">
        <v>0</v>
      </c>
      <c r="I65" s="4" t="n">
        <v>7000</v>
      </c>
      <c r="J65" s="4" t="n">
        <v>4895.2</v>
      </c>
      <c r="K65" s="4" t="n">
        <v>2104.8</v>
      </c>
    </row>
    <row r="66">
      <c r="A66" t="n">
        <v>1065</v>
      </c>
      <c r="B66" s="2" t="n">
        <v>46328</v>
      </c>
      <c r="C66" t="inlineStr">
        <is>
          <t>Arjun</t>
        </is>
      </c>
      <c r="D66" t="inlineStr">
        <is>
          <t>Hyderabad</t>
        </is>
      </c>
      <c r="E66" t="inlineStr">
        <is>
          <t>Smartphone</t>
        </is>
      </c>
      <c r="F66" t="inlineStr">
        <is>
          <t>Electronics</t>
        </is>
      </c>
      <c r="G66" t="n">
        <v>4</v>
      </c>
      <c r="H66" s="3" t="n">
        <v>0.1</v>
      </c>
      <c r="I66" s="4" t="n">
        <v>100800</v>
      </c>
      <c r="J66" s="4" t="n">
        <v>62295.99</v>
      </c>
      <c r="K66" s="4" t="n">
        <v>38504.01</v>
      </c>
    </row>
    <row r="67">
      <c r="A67" t="n">
        <v>1066</v>
      </c>
      <c r="B67" s="2" t="n">
        <v>46348</v>
      </c>
      <c r="C67" t="inlineStr">
        <is>
          <t>Sneha</t>
        </is>
      </c>
      <c r="D67" t="inlineStr">
        <is>
          <t>Delhi</t>
        </is>
      </c>
      <c r="E67" t="inlineStr">
        <is>
          <t>Headphones</t>
        </is>
      </c>
      <c r="F67" t="inlineStr">
        <is>
          <t>Accessories</t>
        </is>
      </c>
      <c r="G67" t="n">
        <v>3</v>
      </c>
      <c r="H67" s="3" t="n">
        <v>0.05</v>
      </c>
      <c r="I67" s="4" t="n">
        <v>12825</v>
      </c>
      <c r="J67" s="4" t="n">
        <v>7617.98</v>
      </c>
      <c r="K67" s="4" t="n">
        <v>5207.02</v>
      </c>
    </row>
    <row r="68">
      <c r="A68" t="n">
        <v>1067</v>
      </c>
      <c r="B68" s="2" t="n">
        <v>46373</v>
      </c>
      <c r="C68" t="inlineStr">
        <is>
          <t>Rahul</t>
        </is>
      </c>
      <c r="D68" t="inlineStr">
        <is>
          <t>Pune</t>
        </is>
      </c>
      <c r="E68" t="inlineStr">
        <is>
          <t>Office Chair</t>
        </is>
      </c>
      <c r="F68" t="inlineStr">
        <is>
          <t>Furniture</t>
        </is>
      </c>
      <c r="G68" t="n">
        <v>1</v>
      </c>
      <c r="H68" s="3" t="n">
        <v>0.1</v>
      </c>
      <c r="I68" s="4" t="n">
        <v>8100</v>
      </c>
      <c r="J68" s="4" t="n">
        <v>6156.08</v>
      </c>
      <c r="K68" s="4" t="n">
        <v>1943.92</v>
      </c>
    </row>
    <row r="69">
      <c r="A69" t="n">
        <v>1068</v>
      </c>
      <c r="B69" s="2" t="n">
        <v>46374</v>
      </c>
      <c r="C69" t="inlineStr">
        <is>
          <t>Ishaan</t>
        </is>
      </c>
      <c r="D69" t="inlineStr">
        <is>
          <t>Bengaluru</t>
        </is>
      </c>
      <c r="E69" t="inlineStr">
        <is>
          <t>Desk</t>
        </is>
      </c>
      <c r="F69" t="inlineStr">
        <is>
          <t>Furniture</t>
        </is>
      </c>
      <c r="G69" t="n">
        <v>3</v>
      </c>
      <c r="H69" s="3" t="n">
        <v>0.05</v>
      </c>
      <c r="I69" s="4" t="n">
        <v>34200</v>
      </c>
      <c r="J69" s="4" t="n">
        <v>24604.91</v>
      </c>
      <c r="K69" s="4" t="n">
        <v>9595.09</v>
      </c>
    </row>
    <row r="70">
      <c r="A70" t="n">
        <v>1069</v>
      </c>
      <c r="B70" s="2" t="n">
        <v>46362</v>
      </c>
      <c r="C70" t="inlineStr">
        <is>
          <t>Priya</t>
        </is>
      </c>
      <c r="D70" t="inlineStr">
        <is>
          <t>Delhi</t>
        </is>
      </c>
      <c r="E70" t="inlineStr">
        <is>
          <t>Desk</t>
        </is>
      </c>
      <c r="F70" t="inlineStr">
        <is>
          <t>Furniture</t>
        </is>
      </c>
      <c r="G70" t="n">
        <v>4</v>
      </c>
      <c r="H70" s="3" t="n">
        <v>0.1</v>
      </c>
      <c r="I70" s="4" t="n">
        <v>43200</v>
      </c>
      <c r="J70" s="4" t="n">
        <v>31519.88</v>
      </c>
      <c r="K70" s="4" t="n">
        <v>11680.12</v>
      </c>
    </row>
    <row r="71">
      <c r="A71" t="n">
        <v>1070</v>
      </c>
      <c r="B71" s="2" t="n">
        <v>46366</v>
      </c>
      <c r="C71" t="inlineStr">
        <is>
          <t>Rahul</t>
        </is>
      </c>
      <c r="D71" t="inlineStr">
        <is>
          <t>Bengaluru</t>
        </is>
      </c>
      <c r="E71" t="inlineStr">
        <is>
          <t>Smartwatch</t>
        </is>
      </c>
      <c r="F71" t="inlineStr">
        <is>
          <t>Accessories</t>
        </is>
      </c>
      <c r="G71" t="n">
        <v>4</v>
      </c>
      <c r="H71" s="3" t="n">
        <v>0.1</v>
      </c>
      <c r="I71" s="4" t="n">
        <v>25200</v>
      </c>
      <c r="J71" s="4" t="n">
        <v>18817.97</v>
      </c>
      <c r="K71" s="4" t="n">
        <v>6382.03</v>
      </c>
    </row>
    <row r="72">
      <c r="A72" t="n">
        <v>1071</v>
      </c>
      <c r="B72" s="2" t="n">
        <v>46371</v>
      </c>
      <c r="C72" t="inlineStr">
        <is>
          <t>Meera</t>
        </is>
      </c>
      <c r="D72" t="inlineStr">
        <is>
          <t>Mumbai</t>
        </is>
      </c>
      <c r="E72" t="inlineStr">
        <is>
          <t>Desk</t>
        </is>
      </c>
      <c r="F72" t="inlineStr">
        <is>
          <t>Furniture</t>
        </is>
      </c>
      <c r="G72" t="n">
        <v>5</v>
      </c>
      <c r="H72" s="3" t="n">
        <v>0.1</v>
      </c>
      <c r="I72" s="4" t="n">
        <v>54000</v>
      </c>
      <c r="J72" s="4" t="n">
        <v>38390.82</v>
      </c>
      <c r="K72" s="4" t="n">
        <v>15609.18</v>
      </c>
    </row>
    <row r="73">
      <c r="A73" t="n">
        <v>1072</v>
      </c>
      <c r="B73" s="2" t="n">
        <v>46380</v>
      </c>
      <c r="C73" t="inlineStr">
        <is>
          <t>Ishaan</t>
        </is>
      </c>
      <c r="D73" t="inlineStr">
        <is>
          <t>Pune</t>
        </is>
      </c>
      <c r="E73" t="inlineStr">
        <is>
          <t>Headphones</t>
        </is>
      </c>
      <c r="F73" t="inlineStr">
        <is>
          <t>Accessories</t>
        </is>
      </c>
      <c r="G73" t="n">
        <v>5</v>
      </c>
      <c r="H73" s="3" t="n">
        <v>0.05</v>
      </c>
      <c r="I73" s="4" t="n">
        <v>21375</v>
      </c>
      <c r="J73" s="4" t="n">
        <v>15790.72</v>
      </c>
      <c r="K73" s="4" t="n">
        <v>5584.28</v>
      </c>
    </row>
  </sheetData>
  <autoFilter ref="A1:K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50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2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>
      <c r="B2" s="5" t="inlineStr">
        <is>
          <t>SALES &amp; REVENUE ANALYSIS DASHBOARD</t>
        </is>
      </c>
    </row>
    <row r="4">
      <c r="B4" s="6" t="inlineStr">
        <is>
          <t>Total Revenue</t>
        </is>
      </c>
      <c r="D4" s="6" t="inlineStr">
        <is>
          <t>Total Profit</t>
        </is>
      </c>
      <c r="F4" s="6" t="inlineStr">
        <is>
          <t>Total Orders</t>
        </is>
      </c>
      <c r="H4" s="6" t="inlineStr">
        <is>
          <t>Total Quantity</t>
        </is>
      </c>
    </row>
    <row r="5">
      <c r="B5" s="7">
        <f>SUM(Sales_Data!I2:I73)</f>
        <v/>
      </c>
      <c r="D5" s="7">
        <f>SUM(Sales_Data!K2:K73)</f>
        <v/>
      </c>
      <c r="F5" s="8">
        <f>COUNTA(Sales_Data!A2:A73)</f>
        <v/>
      </c>
      <c r="H5" s="8">
        <f>SUM(Sales_Data!G2:G73)</f>
        <v/>
      </c>
    </row>
    <row r="8">
      <c r="B8" s="9" t="inlineStr">
        <is>
          <t>Monthly Revenue</t>
        </is>
      </c>
    </row>
    <row r="9">
      <c r="B9" s="10" t="inlineStr">
        <is>
          <t>Month</t>
        </is>
      </c>
      <c r="C9" s="10" t="inlineStr">
        <is>
          <t>Revenue</t>
        </is>
      </c>
    </row>
    <row r="10">
      <c r="B10" s="11" t="n">
        <v>46023</v>
      </c>
      <c r="C10" s="12">
        <f>SUMIFS(Sales_Data!$I$2:$I$73,Sales_Data!$B$2:$B$73,"&gt;="&amp;B10,Sales_Data!$B$2:$B$73,"&lt;"&amp;EDATE(B10,1))</f>
        <v/>
      </c>
    </row>
    <row r="11">
      <c r="B11" s="11" t="n">
        <v>46054</v>
      </c>
      <c r="C11" s="12">
        <f>SUMIFS(Sales_Data!$I$2:$I$73,Sales_Data!$B$2:$B$73,"&gt;="&amp;B11,Sales_Data!$B$2:$B$73,"&lt;"&amp;EDATE(B11,1))</f>
        <v/>
      </c>
    </row>
    <row r="12">
      <c r="B12" s="11" t="n">
        <v>46082</v>
      </c>
      <c r="C12" s="12">
        <f>SUMIFS(Sales_Data!$I$2:$I$73,Sales_Data!$B$2:$B$73,"&gt;="&amp;B12,Sales_Data!$B$2:$B$73,"&lt;"&amp;EDATE(B12,1))</f>
        <v/>
      </c>
    </row>
    <row r="13">
      <c r="B13" s="11" t="n">
        <v>46113</v>
      </c>
      <c r="C13" s="12">
        <f>SUMIFS(Sales_Data!$I$2:$I$73,Sales_Data!$B$2:$B$73,"&gt;="&amp;B13,Sales_Data!$B$2:$B$73,"&lt;"&amp;EDATE(B13,1))</f>
        <v/>
      </c>
    </row>
    <row r="14">
      <c r="B14" s="11" t="n">
        <v>46143</v>
      </c>
      <c r="C14" s="12">
        <f>SUMIFS(Sales_Data!$I$2:$I$73,Sales_Data!$B$2:$B$73,"&gt;="&amp;B14,Sales_Data!$B$2:$B$73,"&lt;"&amp;EDATE(B14,1))</f>
        <v/>
      </c>
    </row>
    <row r="15">
      <c r="B15" s="11" t="n">
        <v>46174</v>
      </c>
      <c r="C15" s="12">
        <f>SUMIFS(Sales_Data!$I$2:$I$73,Sales_Data!$B$2:$B$73,"&gt;="&amp;B15,Sales_Data!$B$2:$B$73,"&lt;"&amp;EDATE(B15,1))</f>
        <v/>
      </c>
    </row>
    <row r="16">
      <c r="B16" s="11" t="n">
        <v>46204</v>
      </c>
      <c r="C16" s="12">
        <f>SUMIFS(Sales_Data!$I$2:$I$73,Sales_Data!$B$2:$B$73,"&gt;="&amp;B16,Sales_Data!$B$2:$B$73,"&lt;"&amp;EDATE(B16,1))</f>
        <v/>
      </c>
    </row>
    <row r="17">
      <c r="B17" s="11" t="n">
        <v>46235</v>
      </c>
      <c r="C17" s="12">
        <f>SUMIFS(Sales_Data!$I$2:$I$73,Sales_Data!$B$2:$B$73,"&gt;="&amp;B17,Sales_Data!$B$2:$B$73,"&lt;"&amp;EDATE(B17,1))</f>
        <v/>
      </c>
    </row>
    <row r="18">
      <c r="B18" s="11" t="n">
        <v>46266</v>
      </c>
      <c r="C18" s="12">
        <f>SUMIFS(Sales_Data!$I$2:$I$73,Sales_Data!$B$2:$B$73,"&gt;="&amp;B18,Sales_Data!$B$2:$B$73,"&lt;"&amp;EDATE(B18,1))</f>
        <v/>
      </c>
    </row>
    <row r="19">
      <c r="B19" s="11" t="n">
        <v>46296</v>
      </c>
      <c r="C19" s="12">
        <f>SUMIFS(Sales_Data!$I$2:$I$73,Sales_Data!$B$2:$B$73,"&gt;="&amp;B19,Sales_Data!$B$2:$B$73,"&lt;"&amp;EDATE(B19,1))</f>
        <v/>
      </c>
    </row>
    <row r="20">
      <c r="B20" s="11" t="n">
        <v>46327</v>
      </c>
      <c r="C20" s="12">
        <f>SUMIFS(Sales_Data!$I$2:$I$73,Sales_Data!$B$2:$B$73,"&gt;="&amp;B20,Sales_Data!$B$2:$B$73,"&lt;"&amp;EDATE(B20,1))</f>
        <v/>
      </c>
    </row>
    <row r="21">
      <c r="B21" s="11" t="n">
        <v>46357</v>
      </c>
      <c r="C21" s="12">
        <f>SUMIFS(Sales_Data!$I$2:$I$73,Sales_Data!$B$2:$B$73,"&gt;="&amp;B21,Sales_Data!$B$2:$B$73,"&lt;"&amp;EDATE(B21,1))</f>
        <v/>
      </c>
    </row>
    <row r="23">
      <c r="B23" s="9" t="inlineStr">
        <is>
          <t>Top Products by Revenue</t>
        </is>
      </c>
    </row>
    <row r="24">
      <c r="B24" s="10" t="inlineStr">
        <is>
          <t>Product</t>
        </is>
      </c>
      <c r="C24" s="10" t="inlineStr">
        <is>
          <t>Revenue</t>
        </is>
      </c>
    </row>
    <row r="25">
      <c r="B25" t="inlineStr">
        <is>
          <t>Laptop</t>
        </is>
      </c>
      <c r="C25" s="12" t="n">
        <v>1589250</v>
      </c>
    </row>
    <row r="26">
      <c r="B26" t="inlineStr">
        <is>
          <t>Smartphone</t>
        </is>
      </c>
      <c r="C26" s="12" t="n">
        <v>816200</v>
      </c>
    </row>
    <row r="27">
      <c r="B27" t="inlineStr">
        <is>
          <t>Tablet</t>
        </is>
      </c>
      <c r="C27" s="12" t="n">
        <v>542300</v>
      </c>
    </row>
    <row r="28">
      <c r="B28" t="inlineStr">
        <is>
          <t>Desk</t>
        </is>
      </c>
      <c r="C28" s="12" t="n">
        <v>441600</v>
      </c>
    </row>
    <row r="29">
      <c r="B29" t="inlineStr">
        <is>
          <t>Printer</t>
        </is>
      </c>
      <c r="C29" s="12" t="n">
        <v>255750</v>
      </c>
    </row>
    <row r="30">
      <c r="B30" t="inlineStr">
        <is>
          <t>Smartwatch</t>
        </is>
      </c>
      <c r="C30" s="12" t="n">
        <v>221900</v>
      </c>
    </row>
    <row r="31">
      <c r="B31" t="inlineStr">
        <is>
          <t>Headphones</t>
        </is>
      </c>
      <c r="C31" s="12" t="n">
        <v>155925</v>
      </c>
    </row>
    <row r="32">
      <c r="B32" t="inlineStr">
        <is>
          <t>Office Chair</t>
        </is>
      </c>
      <c r="C32" s="12" t="n">
        <v>131850</v>
      </c>
    </row>
    <row r="35">
      <c r="B35" s="9" t="inlineStr">
        <is>
          <t>Top Customers</t>
        </is>
      </c>
      <c r="E35" s="9" t="inlineStr">
        <is>
          <t>Business Insights</t>
        </is>
      </c>
    </row>
    <row r="36">
      <c r="B36" s="10" t="inlineStr">
        <is>
          <t>Customer</t>
        </is>
      </c>
      <c r="C36" s="10" t="inlineStr">
        <is>
          <t>Revenue</t>
        </is>
      </c>
      <c r="E36" s="13" t="inlineStr">
        <is>
          <t>• KPI cards track revenue, profit, orders and quantity.</t>
        </is>
      </c>
    </row>
    <row r="37">
      <c r="B37" t="inlineStr">
        <is>
          <t>Diya</t>
        </is>
      </c>
      <c r="C37" s="12" t="n">
        <v>805725</v>
      </c>
      <c r="E37" s="13" t="inlineStr">
        <is>
          <t>• Monthly trend helps identify high/low revenue periods.</t>
        </is>
      </c>
    </row>
    <row r="38">
      <c r="B38" t="inlineStr">
        <is>
          <t>Priya</t>
        </is>
      </c>
      <c r="C38" s="12" t="n">
        <v>748000</v>
      </c>
      <c r="E38" s="13" t="inlineStr">
        <is>
          <t>• Product analysis highlights top-performing products.</t>
        </is>
      </c>
    </row>
    <row r="39">
      <c r="B39" t="inlineStr">
        <is>
          <t>Ishaan</t>
        </is>
      </c>
      <c r="C39" s="12" t="n">
        <v>741425</v>
      </c>
      <c r="E39" s="13" t="inlineStr">
        <is>
          <t>• Customer analysis identifies major revenue contributors.</t>
        </is>
      </c>
    </row>
    <row r="40">
      <c r="B40" t="inlineStr">
        <is>
          <t>Ananya</t>
        </is>
      </c>
      <c r="C40" s="12" t="n">
        <v>433650</v>
      </c>
      <c r="E40" s="13" t="inlineStr">
        <is>
          <t>• The workbook supports data visualization and KPI tracking.</t>
        </is>
      </c>
    </row>
    <row r="41">
      <c r="B41" t="inlineStr">
        <is>
          <t>Vikram</t>
        </is>
      </c>
      <c r="C41" s="12" t="n">
        <v>370250</v>
      </c>
    </row>
    <row r="49">
      <c r="B49" s="9" t="inlineStr">
        <is>
          <t>Expected Outcome</t>
        </is>
      </c>
    </row>
    <row r="50">
      <c r="B50" s="13" t="inlineStr">
        <is>
          <t>Learn data visualization, KPI tracking, and business insight generation.</t>
        </is>
      </c>
    </row>
  </sheetData>
  <mergeCells count="2">
    <mergeCell ref="B2:J2"/>
    <mergeCell ref="B50:J5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4" t="inlineStr">
        <is>
          <t>Sales &amp; Revenue Analysis Dashboard</t>
        </is>
      </c>
    </row>
    <row r="3">
      <c r="A3" s="15" t="inlineStr">
        <is>
          <t>Task</t>
        </is>
      </c>
      <c r="B3" s="16" t="inlineStr">
        <is>
          <t>Build a dashboard to analyze sales and revenue data.</t>
        </is>
      </c>
    </row>
    <row r="4">
      <c r="A4" s="15" t="inlineStr">
        <is>
          <t>Key Features</t>
        </is>
      </c>
      <c r="B4" s="16" t="inlineStr">
        <is>
          <t>Import data; visualize KPIs; analyze revenue trends; identify top products; use charts and interactive-style analysis.</t>
        </is>
      </c>
    </row>
    <row r="5">
      <c r="A5" s="15" t="inlineStr">
        <is>
          <t>Expected Outcome</t>
        </is>
      </c>
      <c r="B5" s="16" t="inlineStr">
        <is>
          <t>Learn data visualization, KPI tracking, and business insight generation.</t>
        </is>
      </c>
    </row>
    <row r="6">
      <c r="B6" s="16" t="n"/>
    </row>
    <row r="7">
      <c r="A7" s="15" t="inlineStr">
        <is>
          <t>Note</t>
        </is>
      </c>
      <c r="B7" s="16" t="inlineStr">
        <is>
          <t>This workbook is a ready-to-use project artifact demonstrating the expected outcome. It uses sample sales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2026-09-24T14:34:33Z</dcterms:created>
  <dcterms:modified xmlns:dcterms="http://purl.org/dc/terms/" xmlns:xsi="http://www.w3.org/2001/XMLSchema-instance" xsi:type="dcterms:W3CDTF">2026-09-24T14:34:33Z</dcterms:modified>
</cp:coreProperties>
</file>